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老黄牛小工具\代码生成器的应用\[简单免安装]本地网址导航及安装过程\"/>
    </mc:Choice>
  </mc:AlternateContent>
  <bookViews>
    <workbookView xWindow="1290" yWindow="0" windowWidth="24000" windowHeight="9840"/>
  </bookViews>
  <sheets>
    <sheet name="多脚本" sheetId="1" r:id="rId1"/>
    <sheet name="密码区" sheetId="2" r:id="rId2"/>
    <sheet name="常用代码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B32" i="1" l="1"/>
  <c r="B31" i="1"/>
  <c r="B30" i="1"/>
  <c r="B29" i="1"/>
  <c r="B28" i="1"/>
  <c r="B27" i="1"/>
  <c r="B26" i="1"/>
  <c r="B25" i="1"/>
  <c r="B24" i="1"/>
  <c r="B23" i="1"/>
  <c r="B22" i="1"/>
  <c r="B21" i="1"/>
  <c r="C3" i="1"/>
  <c r="B3" i="1"/>
  <c r="A3" i="1"/>
  <c r="E1" i="1"/>
  <c r="D1" i="1"/>
  <c r="C1" i="1"/>
  <c r="B1" i="1"/>
</calcChain>
</file>

<file path=xl/sharedStrings.xml><?xml version="1.0" encoding="utf-8"?>
<sst xmlns="http://schemas.openxmlformats.org/spreadsheetml/2006/main" count="258" uniqueCount="192">
  <si>
    <t>网页后部(不能删)</t>
  </si>
  <si>
    <t>生成文件</t>
  </si>
  <si>
    <t>index.html</t>
  </si>
  <si>
    <t xml:space="preserve">    dm二维码生成器</t>
  </si>
  <si>
    <t>参数01</t>
  </si>
  <si>
    <t>参数02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</si>
  <si>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</si>
  <si>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</si>
  <si>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</si>
  <si>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</si>
  <si>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</si>
  <si>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</si>
  <si>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</si>
  <si>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</si>
  <si>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</si>
  <si>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</si>
  <si>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</si>
  <si>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</si>
  <si>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</si>
  <si>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参数16</t>
  </si>
  <si>
    <t>参数17</t>
  </si>
  <si>
    <t>参数18</t>
  </si>
  <si>
    <t>参数19</t>
  </si>
  <si>
    <t>参数20</t>
  </si>
  <si>
    <t>参数21</t>
  </si>
  <si>
    <t>参数22</t>
  </si>
  <si>
    <t>参数23</t>
  </si>
  <si>
    <t>参数24</t>
  </si>
  <si>
    <t>参数25</t>
  </si>
  <si>
    <t>参数26</t>
  </si>
  <si>
    <t>参数27</t>
  </si>
  <si>
    <t>参数28</t>
  </si>
  <si>
    <t>参数29</t>
  </si>
  <si>
    <t>参数30</t>
  </si>
  <si>
    <t>参数31</t>
  </si>
  <si>
    <t>参数32</t>
  </si>
  <si>
    <t>参数33</t>
  </si>
  <si>
    <t>参数34</t>
  </si>
  <si>
    <t>参数35</t>
  </si>
  <si>
    <t>参数36</t>
  </si>
  <si>
    <t>参数37</t>
  </si>
  <si>
    <t>参数38</t>
  </si>
  <si>
    <t>参数39</t>
  </si>
  <si>
    <t>参数40</t>
  </si>
  <si>
    <t>参数41</t>
  </si>
  <si>
    <t>执行脚本</t>
  </si>
  <si>
    <t>备注名（可不填）</t>
  </si>
  <si>
    <t>头部代码</t>
  </si>
  <si>
    <t>底部代码</t>
  </si>
  <si>
    <t>读取文件</t>
  </si>
  <si>
    <t>说明1</t>
  </si>
  <si>
    <t>更多</t>
  </si>
  <si>
    <t>更多链接</t>
  </si>
  <si>
    <t>标题</t>
  </si>
  <si>
    <t>标题链接</t>
  </si>
  <si>
    <t>输入信息</t>
  </si>
  <si>
    <t>头部(文字版)</t>
  </si>
  <si>
    <t>上下分隔</t>
  </si>
  <si>
    <t>本地文件框9</t>
  </si>
  <si>
    <t>3_团学工作</t>
  </si>
  <si>
    <t>团学名单</t>
  </si>
  <si>
    <t>团学日常</t>
  </si>
  <si>
    <t>团学科研</t>
  </si>
  <si>
    <t>团务、党务</t>
  </si>
  <si>
    <t>红头文件</t>
  </si>
  <si>
    <t>常用审批</t>
  </si>
  <si>
    <t>社团相关</t>
  </si>
  <si>
    <t>团学会活动总览</t>
  </si>
  <si>
    <t>学生科研</t>
  </si>
  <si>
    <t>科研汇总</t>
  </si>
  <si>
    <t>互联网经费</t>
  </si>
  <si>
    <t>台州学院</t>
  </si>
  <si>
    <t>https://www.tzc.edu.cn/</t>
  </si>
  <si>
    <t>融合门户</t>
  </si>
  <si>
    <t>https://i.tzc.edu.cn/home</t>
  </si>
  <si>
    <t>台院VPN</t>
  </si>
  <si>
    <t>https://vpn.tzc.edu.cn/</t>
  </si>
  <si>
    <t>财务处</t>
  </si>
  <si>
    <t>http://210.32.80.172:8080/WFManager/login.jsp</t>
  </si>
  <si>
    <t>微后勤</t>
  </si>
  <si>
    <t>http://hqdt.tzc.edu.cn/mobile/m_login.aspx</t>
  </si>
  <si>
    <t>云MAS</t>
  </si>
  <si>
    <t>http://mas.10086.cn/login</t>
  </si>
  <si>
    <t>网站后台</t>
  </si>
  <si>
    <t>https://bd.tzc.edu.cn/</t>
  </si>
  <si>
    <t>政采云</t>
  </si>
  <si>
    <t>其他工作1</t>
  </si>
  <si>
    <t>年级管理</t>
  </si>
  <si>
    <t>宣传工作</t>
  </si>
  <si>
    <t>心理健康</t>
  </si>
  <si>
    <t>学生公寓</t>
  </si>
  <si>
    <t>形势与政策</t>
  </si>
  <si>
    <t>医保工作</t>
  </si>
  <si>
    <t>火车票</t>
  </si>
  <si>
    <t>易班工作</t>
  </si>
  <si>
    <t>其他工作2</t>
  </si>
  <si>
    <t>会议资料</t>
  </si>
  <si>
    <t>报销</t>
  </si>
  <si>
    <t>学生名单</t>
  </si>
  <si>
    <t>工作照集锦</t>
  </si>
  <si>
    <t>文化墙设计</t>
  </si>
  <si>
    <t>贫困生</t>
  </si>
  <si>
    <t>征兵入伍</t>
  </si>
  <si>
    <t>谈心谈话</t>
  </si>
  <si>
    <t>空白栏目1</t>
  </si>
  <si>
    <t>空白栏目2</t>
  </si>
  <si>
    <t>老黄牛工具</t>
  </si>
  <si>
    <t>Everything</t>
  </si>
  <si>
    <t>D:\老黄牛小工具\RunAny\Everything\Everything.exe</t>
  </si>
  <si>
    <t>RunAny</t>
  </si>
  <si>
    <t>D:\老黄牛小工具\RunAny\RunAny.exe</t>
  </si>
  <si>
    <t>首页修改</t>
  </si>
  <si>
    <t>E:\辅导员工作【LLJ】\index\刘丽娟首页.xlsm</t>
  </si>
  <si>
    <t>当地天气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</si>
  <si>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</si>
  <si>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</si>
  <si>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</si>
  <si>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</si>
  <si>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</si>
  <si>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</si>
  <si>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</si>
  <si>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</si>
  <si>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</si>
  <si>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</si>
  <si>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</si>
  <si>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</si>
  <si>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</si>
  <si>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</si>
  <si>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</si>
  <si>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</si>
  <si>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</si>
  <si>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</si>
  <si>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</si>
  <si>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</si>
  <si>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</si>
  <si>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</si>
  <si>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</si>
  <si>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</si>
  <si>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</si>
  <si>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</si>
  <si>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</si>
  <si>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</si>
  <si>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</si>
  <si>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</si>
  <si>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</si>
  <si>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</si>
  <si>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</si>
  <si>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常用代码</t>
  </si>
  <si>
    <t>核心代码</t>
  </si>
  <si>
    <t>生成文件（无用）</t>
  </si>
  <si>
    <t>说明2</t>
  </si>
  <si>
    <t>说明3</t>
  </si>
  <si>
    <t>标题行（空代码区）</t>
  </si>
  <si>
    <t xml:space="preserve"> </t>
  </si>
  <si>
    <t>头部(不能删)</t>
  </si>
  <si>
    <t xml:space="preserve">&lt;!DOCTYPE html&gt;
&lt;html&gt;
 &lt;head&gt;
  &lt;meta charset="GB2312"&gt;
  &lt;meta content="no" name="apple-mobile-web-app-capable"&gt;
  &lt;meta name="viewport" content="width=device-width, initial-scale=1.0, maximum-scale=1.0, user-scalable=no"&gt;
  &lt;meta http-equiv="X-UA-Compatible" content="IE=edge,chrome=1" /&gt;
  &lt;title&gt;老黄牛自助导航站&lt;/title&gt;
  &lt;meta name="msapplication-TileColor" content="#1cb32e" /&gt;
  &lt;link rel="shortcut icon" href="static/favicon.ico" type=image/x-icon/&gt;
  &lt;meta name="keywords" content="老黄牛自助导航"&gt;
  &lt;meta name="Description" content="一个简洁实用导航网站"&gt;
  &lt;meta itemprop="name" content="" /&gt;
  &lt;meta name="description" itemprop="description" content="一个简洁实用导航网站" /&gt;
  &lt;link rel="stylesheet" href="static/css/bootstrap.min.css"&gt;
  &lt;link rel="stylesheet" href="static/css/bootstrap-theme.min.css"&gt;
  &lt;link href="static/css/master.css" type="text/css" rel="stylesheet" /&gt;
  &lt;script src="static/js/jquery.min.js"&gt;&lt;/script&gt;
  &lt;script src="static/js/bootstrap.min.js"&gt;&lt;/script&gt;
  &lt;!--[if lt IE 9]&gt;
    　    &lt;script src="static/js/html5.min.js"&gt;&lt;/script&gt;
     &lt;![endif]--&gt;
&lt;style type="text/css"&gt;
a:link,a:visited{
 text-decoration:none;  /*超链接无下划线*/
}
a:hover{
 text-decoration:none;  /*鼠标放上去有下划线*/
}
&lt;/style&gt;
 &lt;/head&gt;
 &lt;body&gt;
  &lt;div class="container"&gt;
   &lt;div class="ht10"&gt;&lt;/div&gt;
   &lt;div class="row tools"&gt;
    &lt;div class="col-md-10 col-md-offset-1 col-sm-12 col-xs-12"&gt;
  &lt;div style="text-align:center;"&gt;
    &lt;img src="static/picture/banner.jpg"&gt;&lt;/img&gt;
    &lt;/div&gt;
 &lt;/div&gt;
   &lt;/div&gt;
</t>
  </si>
  <si>
    <t>无参数</t>
  </si>
  <si>
    <t xml:space="preserve">&lt;!DOCTYPE html&gt;
&lt;html&gt;
 &lt;head&gt;
  &lt;meta charset="GB2312"&gt;
  &lt;meta content="no" name="apple-mobile-web-app-capable"&gt;
  &lt;meta name="viewport" content="width=device-width, initial-scale=1.0, maximum-scale=1.0, user-scalable=no"&gt;
  &lt;meta http-equiv="X-UA-Compatible" content="IE=edge,chrome=1" /&gt;
  &lt;title&gt;老黄牛自助导航站&lt;/title&gt;
  &lt;meta name="msapplication-TileColor" content="#1cb32e" /&gt;
  &lt;link rel="shortcut icon" href="static/favicon.ico" type=image/x-icon/&gt;
  &lt;meta name="keywords" content="老黄牛自助导航"&gt;
  &lt;meta name="Description" content="一个简洁实用导航网站"&gt;
  &lt;meta itemprop="name" content="" /&gt;
  &lt;meta name="description" itemprop="description" content="一个简洁实用导航网站" /&gt;
  &lt;link rel="stylesheet" href="static/css/bootstrap.min.css"&gt;
  &lt;link rel="stylesheet" href="static/css/bootstrap-theme.min.css"&gt;
  &lt;link href="static/css/master.css" type="text/css" rel="stylesheet" /&gt;
  &lt;script src="static/js/jquery.min.js"&gt;&lt;/script&gt;
  &lt;script src="static/js/bootstrap.min.js"&gt;&lt;/script&gt;
&lt;style type="text/css"&gt;
a:link,a:visited{
 text-decoration:none;  /*超链接无下划线*/
}
a:hover{
 text-decoration:none;  /*鼠标放上去有下划线*/
}
&lt;/style&gt;
 &lt;/head&gt;
 &lt;body&gt;
  &lt;div class="container"&gt;
   &lt;div class="ht10"&gt;&lt;/div&gt;
   &lt;div class="row tools"&gt;
    &lt;div class="col-md-10 col-md-offset-1 col-sm-12 col-xs-12"&gt;
  &lt;div style="text-align:center;"&gt;
    &lt;h1&gt;参数10&lt;/h1&gt;
    &lt;/div&gt;
 &lt;/div&gt;
   &lt;/div&gt;
</t>
  </si>
  <si>
    <t>参数10：项部文字</t>
  </si>
  <si>
    <t>搜索框下导航_前</t>
  </si>
  <si>
    <t xml:space="preserve">   &lt;div class="ht10"&gt;&lt;/div&gt;
   &lt;div class="row tools"&gt;
    &lt;div class="col-md-10 col-md-offset-1 col-sm-12 col-xs-12"&gt;
     &lt;ul class="list"&gt;</t>
  </si>
  <si>
    <t>搜索框下导航_后</t>
  </si>
  <si>
    <t xml:space="preserve">     &lt;/ul&gt;
    &lt;/div&gt;
   &lt;/div&gt;
</t>
  </si>
  <si>
    <t>搜索框下导航</t>
  </si>
  <si>
    <t xml:space="preserve">   &lt;div class="ht10"&gt;&lt;/div&gt;
   &lt;div class="row tools"&gt;
    &lt;div class="col-md-10 col-md-offset-1 col-sm-12 col-xs-12"&gt;
     &lt;ul class="list"&gt;
           &lt;li&gt;&lt;a href="参数13" target="_blank" rel="nofollow"&gt;参数12&lt;/a&gt;&lt;/li&gt;           
           &lt;li&gt;&lt;a href="参数15" target="_blank" rel="nofollow"&gt;参数14&lt;/a&gt;&lt;/li&gt;           
           &lt;li&gt;&lt;a href="参数17" target="_blank" rel="nofollow"&gt;参数16&lt;/a&gt;&lt;/li&gt;           
           &lt;li&gt;&lt;a href="参数19" target="_blank" rel="nofollow"&gt;参数18&lt;/a&gt;&lt;/li&gt;           
           &lt;li&gt;&lt;a href="参数21" target="_blank" rel="nofollow"&gt;参数20&lt;/a&gt;&lt;/li&gt;         
     &lt;/ul&gt;
    &lt;/div&gt;
   &lt;/div&gt;
</t>
  </si>
  <si>
    <t>本地文件框</t>
  </si>
  <si>
    <t xml:space="preserve">     &lt;!--------------分隔线---------------------&gt;
    &lt;div class="col-md-4 col-sm-6 t"&gt;
     &lt;div class="panel panel-default"&gt;
      &lt;div class="panel-heading"&gt;
       &lt;h3 class="panel-title"&gt;&lt;a href="参数11" target="_blank" rel="nofollow"&gt;参数10&lt;/a&gt;&lt;/h3&gt;
      &lt;/div&gt;
      &lt;div class="panel-body"&gt;
       &lt;ul class="link"&gt;
           &lt;li&gt;&lt;a href="r34://参数13" target="_blank" rel="nofollow"&gt;参数12&lt;/a&gt;&lt;/li&gt;           
           &lt;li&gt;&lt;a href="r34://参数15" target="_blank" rel="nofollow"&gt;参数14&lt;/a&gt;&lt;/li&gt;           
           &lt;li&gt;&lt;a href="r34://参数17" target="_blank" rel="nofollow"&gt;参数16&lt;/a&gt;&lt;/li&gt;           
           &lt;li&gt;&lt;a href="r34://参数19" target="_blank" rel="nofollow"&gt;参数18&lt;/a&gt;&lt;/li&gt;           
           &lt;li&gt;&lt;a href="r34://参数21" target="_blank" rel="nofollow"&gt;参数20&lt;/a&gt;&lt;/li&gt;           
           &lt;li&gt;&lt;a href="r34://参数23" target="_blank" rel="nofollow"&gt;参数22&lt;/a&gt;&lt;/li&gt;                    
       &lt;/ul&gt;
      &lt;/div&gt;
     &lt;/div&gt;
    &lt;/div&gt; 
</t>
  </si>
  <si>
    <t>参数10：标题名，参数11：标题的链接，参数12后标题及链接。</t>
  </si>
  <si>
    <t>链接框</t>
  </si>
  <si>
    <t xml:space="preserve">     &lt;!--------------分隔线---------------------&gt;
    &lt;div class="col-md-4 col-sm-6 t"&gt;
     &lt;div class="panel panel-default"&gt;
      &lt;div class="panel-heading"&gt;
       &lt;h3 class="panel-title"&gt;&lt;a href="参数11" target="_blank" rel="nofollow"&gt;参数10&lt;/a&gt;&lt;/h3&gt;
      &lt;/div&gt;
      &lt;div class="panel-body"&gt;
       &lt;ul class="link"&gt;
           &lt;li&gt;&lt;a href="参数13" target="_blank" rel="nofollow"&gt;参数12&lt;/a&gt;&lt;/li&gt;           
           &lt;li&gt;&lt;a href="参数15" target="_blank" rel="nofollow"&gt;参数14&lt;/a&gt;&lt;/li&gt;           
           &lt;li&gt;&lt;a href="参数17" target="_blank" rel="nofollow"&gt;参数16&lt;/a&gt;&lt;/li&gt;           
           &lt;li&gt;&lt;a href="参数19" target="_blank" rel="nofollow"&gt;参数18&lt;/a&gt;&lt;/li&gt;           
           &lt;li&gt;&lt;a href="参数21" target="_blank" rel="nofollow"&gt;参数20&lt;/a&gt;&lt;/li&gt;           
           &lt;li&gt;&lt;a href="参数23" target="_blank" rel="nofollow"&gt;参数22&lt;/a&gt;&lt;/li&gt;                    
       &lt;/ul&gt;
      &lt;/div&gt;
     &lt;/div&gt;
    &lt;/div&gt; 
</t>
  </si>
  <si>
    <t xml:space="preserve">   &lt;div class="ht10"&gt;&lt;/div&gt;
   &lt;div class="row nav_box"&gt;</t>
  </si>
  <si>
    <t xml:space="preserve">     &lt;!--------------分隔线---------------------&gt;
    &lt;div class="col-md-4 col-sm-6 t"&gt;
     &lt;div class="panel panel-default"&gt;
      &lt;div class="panel-heading"&gt;
       &lt;b&gt;&lt;a href="r34://参数11" target="_blank" rel="nofollow"&gt;参数10&lt;/a&gt;&lt;/b&gt;
      &lt;/div&gt;
      &lt;div class="panel-body" style="height: 120px;"&gt;
       &lt;ul class="link"&gt;
           &lt;li&gt;&lt;a href="r34://参数13" target="_blank" rel="nofollow"&gt;参数12&lt;/a&gt;&lt;/li&gt;           
           &lt;li&gt;&lt;a href="r34://参数15" target="_blank" rel="nofollow"&gt;参数14&lt;/a&gt;&lt;/li&gt;           
           &lt;li&gt;&lt;a href="r34://参数17" target="_blank" rel="nofollow"&gt;参数16&lt;/a&gt;&lt;/li&gt;           
           &lt;li&gt;&lt;a href="r34://参数19" target="_blank" rel="nofollow"&gt;参数18&lt;/a&gt;&lt;/li&gt;           
           &lt;li&gt;&lt;a href="r34://参数21" target="_blank" rel="nofollow"&gt;参数20&lt;/a&gt;&lt;/li&gt;           
           &lt;li&gt;&lt;a href="r34://参数23" target="_blank" rel="nofollow"&gt;参数22&lt;/a&gt;&lt;/li&gt;   
           &lt;li&gt;&lt;a href="r34://参数25" target="_blank" rel="nofollow"&gt;参数24&lt;/a&gt;&lt;/li&gt;           
           &lt;li&gt;&lt;a href="r34://参数27" target="_blank" rel="nofollow"&gt;参数26&lt;/a&gt;&lt;/li&gt;           
           &lt;li&gt;&lt;a href="r34://参数29" target="_blank" rel="nofollow"&gt;参数28&lt;/a&gt;&lt;/li&gt;                    
       &lt;/ul&gt;
      &lt;/div&gt;
     &lt;/div&gt;
    &lt;/div&gt; 
</t>
  </si>
  <si>
    <t>链接框9</t>
  </si>
  <si>
    <t xml:space="preserve">     &lt;!--------------分隔线---------------------&gt;
    &lt;div class="col-md-4 col-sm-6 t"&gt;
     &lt;div class="panel panel-default"&gt;
      &lt;div class="panel-heading"&gt;
       &lt;b&gt;&lt;a href="参数11" target="_blank" rel="nofollow"&gt;参数10&lt;/a&gt;&lt;/b&gt;
      &lt;/div&gt;
      &lt;div class="panel-body" style="height: 120px;"&gt;
       &lt;ul class="link"&gt;
           &lt;li&gt;&lt;a href="参数13" target="_blank" rel="nofollow"&gt;参数12&lt;/a&gt;&lt;/li&gt;           
           &lt;li&gt;&lt;a href="参数15" target="_blank" rel="nofollow"&gt;参数14&lt;/a&gt;&lt;/li&gt;           
           &lt;li&gt;&lt;a href="参数17" target="_blank" rel="nofollow"&gt;参数16&lt;/a&gt;&lt;/li&gt;           
           &lt;li&gt;&lt;a href="参数19" target="_blank" rel="nofollow"&gt;参数18&lt;/a&gt;&lt;/li&gt;           
           &lt;li&gt;&lt;a href="参数21" target="_blank" rel="nofollow"&gt;参数20&lt;/a&gt;&lt;/li&gt;           
           &lt;li&gt;&lt;a href="参数23" target="_blank" rel="nofollow"&gt;参数22&lt;/a&gt;&lt;/li&gt;                    
           &lt;li&gt;&lt;a href="参数25" target="_blank" rel="nofollow"&gt;参数24&lt;/a&gt;&lt;/li&gt;                    
           &lt;li&gt;&lt;a href="参数27" target="_blank" rel="nofollow"&gt;参数26&lt;/a&gt;&lt;/li&gt;                    
           &lt;li&gt;&lt;a href="参数29" target="_blank" rel="nofollow"&gt;参数28&lt;/a&gt;&lt;/li&gt;                    
       &lt;/ul&gt;
      &lt;/div&gt;
     &lt;/div&gt;
    &lt;/div&gt; 
</t>
  </si>
  <si>
    <t>数据展示区</t>
  </si>
  <si>
    <t xml:space="preserve">&lt;!--------------分隔线---------------------&gt;
 &lt;div class="col-md-4 col-sm-6 t"&gt;
  &lt;div class="panel panel-default"&gt;
   &lt;div class="panel-heading"&gt;
    &lt;b&gt;&lt;a href="参数11" target="_blank" rel="nofollow"&gt;参数10&lt;/a&gt;&lt;/b&gt;
   &lt;/div&gt;
   &lt;div class="panel-body" style="height: 120px;"&gt;
  &lt;div class="col-md-6 " &gt;
   &lt;div class="table-responsive"  &gt;
    &lt;table class="table"&gt;
     &lt;tbody&gt;
       &lt;tr&gt;
      &lt;td&gt;参数12&lt;/td&gt;
      &lt;td&gt;参数13&lt;/td&gt;&lt;/tr&gt;
       &lt;tr&gt;
      &lt;td&gt;参数14&lt;/td&gt;
      &lt;td&gt;参数15&lt;/td&gt;&lt;/tr&gt;
       &lt;tr&gt;
      &lt;td&gt;参数16&lt;/td&gt;
      &lt;td&gt;参数17&lt;/td&gt;&lt;/tr&gt;
     &lt;/tbody&gt;
    &lt;/table&gt;
   &lt;/div&gt;
  &lt;/div&gt;
  &lt;div class="col-md-6 " &gt;
   &lt;div class="table-responsive"  &gt;
    &lt;table class="table"&gt;
     &lt;tbody&gt;
       &lt;tr&gt;
      &lt;td&gt;参数13&lt;/td&gt;
      &lt;td&gt;参数14&lt;/td&gt;&lt;/tr&gt;
       &lt;tr&gt;
      &lt;td&gt;参数17&lt;/td&gt;
      &lt;td&gt;参数18&lt;/td&gt;&lt;/tr&gt;
       &lt;tr&gt;
      &lt;td&gt;参数21&lt;/td&gt;
      &lt;td&gt;参数22&lt;/td&gt;&lt;/tr&gt;
     &lt;/tbody&gt;
    &lt;/table&gt;
   &lt;/div&gt;
  &lt;/div&gt;
   &lt;/div&gt;
  &lt;/div&gt;
 &lt;/div&gt; </t>
  </si>
  <si>
    <t>网页iframe</t>
  </si>
  <si>
    <t xml:space="preserve"> &lt;div class="col-md-12 col-sm-12 "&gt;
  &lt;iframe src="参数13"  scrolling="auto" style="height: 120px; width: 100%;" frameborder="0"&gt;&lt;/iframe&gt;
 &lt;/div&gt;   </t>
  </si>
  <si>
    <t xml:space="preserve">     &lt;!--------------分隔线---------------------&gt;
    &lt;div class="col-md-4 col-sm-6 t"&gt;
     &lt;div class="panel panel-default"&gt;
      &lt;div class="panel-heading"&gt;
       &lt;h3 class="panel-title"&gt;当地天气&lt;/h3&gt;
      &lt;/div&gt;
      &lt;div class="panel-body"&gt;
&lt;iframe width="421" scrolling="no" height="100" frameborder="0" allowtransparency="true" src="https://i.tianqi.com?c=code&amp;id=14&amp;icon=1&amp;site=12"&gt;&lt;/iframe&gt;
      &lt;/div&gt;
     &lt;/div&gt;
    &lt;/div&gt; 
</t>
  </si>
  <si>
    <r>
      <rPr>
        <sz val="11"/>
        <color theme="1"/>
        <rFont val="宋体"/>
        <charset val="134"/>
        <scheme val="minor"/>
      </rPr>
      <t xml:space="preserve">
   &lt;/div&gt;
  &lt;/div&gt;
  &lt;div class="footer"&gt;
   &lt;div class="content"&gt;
    &lt;p&gt;  2020 &lt;a href="http://upsir.com/" &gt;老黄牛自用导航|老黄牛| 邮箱：187277552@qq.com &lt;/p&gt;&lt;/a&gt; 
   &lt;/div&gt;
  &lt;/div&gt;
  &lt;div class="back_to_top"&gt;&lt;span class="glyphicon glyphicon-triangle-top" aria-hidden="true"&gt;&lt;/span&gt;&lt;/div&gt;
  &lt;script src="</t>
    </r>
    <r>
      <rPr>
        <sz val="11"/>
        <color theme="1"/>
        <rFont val="宋体"/>
        <charset val="134"/>
        <scheme val="minor"/>
      </rPr>
      <t>static/</t>
    </r>
    <r>
      <rPr>
        <sz val="11"/>
        <color theme="1"/>
        <rFont val="宋体"/>
        <charset val="134"/>
        <scheme val="minor"/>
      </rPr>
      <t xml:space="preserve">js/master.js"&gt;&lt;/script&gt;
&lt;script &gt;
$(document).ready(function(){
</t>
    </r>
    <r>
      <rPr>
        <sz val="11"/>
        <color theme="1"/>
        <rFont val="宋体"/>
        <charset val="134"/>
        <scheme val="minor"/>
      </rPr>
      <t xml:space="preserve">        $.ajax({
        type: "get",
        url: "http://ms.upsir.com/index.php/Qwadmin/info/tzcpage.html?user=2013014",
        dataType:'JSONP',
        data:{ //【这里填写是传给服务端的数据 可传可不传 数据必须是json格式】
            "a":"b",
            "c":"d"
        },
        success: function(data) { //【成功回调】
        },
        error: function(xhr, type) { //【失败回调】
        }
        });
});
&lt;/script&gt;
&lt;body style="background:#fffae8"&gt;
&lt;/body&gt;
&lt;/html&gt;</t>
    </r>
  </si>
  <si>
    <t>临海天气</t>
  </si>
  <si>
    <t xml:space="preserve">     &lt;!--------------分隔线---------------------&gt;
    &lt;div class="col-md-4 col-sm-6 t"&gt;
     &lt;div class="panel panel-default"&gt;
      &lt;div class="panel-heading"&gt;
        &lt;a href='http://www.tz121.com/linhai/'&gt;临海天气&lt;/a&gt;
      &lt;/div&gt;
      &lt;div class="panel-body" style="height: 120px;"&gt;
       &lt;ul class="link"&gt;
           &lt;a href="参数13" target="_blank" rel="nofollow"&gt;参数12&lt;/a&gt;&lt;/li&gt;    
&lt;iframe width="421" scrolling="no" height="30" frameborder="0" allowtransparency="true" src="http://rw.r34.cc/index.php/Qwadmin/LilyApi"&gt;&lt;/iframe&gt;
&lt;iframe width="421" scrolling="no" height="60" frameborder="0" allowtransparency="true" src="http://tianqi.eastday.com/plugin/widget_v1.html?sc=1&amp;z=1&amp;t=0&amp;v=0&amp;d=3&amp;bd=0&amp;k=&amp;f=&amp;q=1&amp;a=0&amp;c=71224&amp;w=385&amp;h=96&amp;align=left"&gt;&lt;/iframe&gt;
       &lt;/ul&gt;
      &lt;/div&gt;
     &lt;/div&gt;
    &lt;/div&gt; 
</t>
  </si>
  <si>
    <t>Temp</t>
  </si>
  <si>
    <t>&lt;iframe allowtransparency="true" frameborder="0" scrolling="no" src="//tianqi.eastday.com/plugin/widget_v1.html?sc=1&amp;z=1&amp;t=1&amp;v=0&amp;d=3&amp;bd=0&amp;k=&amp;f=&amp;q=1&amp;a=0&amp;c=71224&amp;align=left"&gt;&lt;/iframe&gt;</t>
  </si>
  <si>
    <r>
      <rPr>
        <sz val="11"/>
        <color theme="1"/>
        <rFont val="宋体"/>
        <charset val="134"/>
        <scheme val="minor"/>
      </rPr>
      <t>面板i</t>
    </r>
    <r>
      <rPr>
        <sz val="11"/>
        <color theme="1"/>
        <rFont val="宋体"/>
        <charset val="134"/>
        <scheme val="minor"/>
      </rPr>
      <t>frame</t>
    </r>
  </si>
  <si>
    <t xml:space="preserve">     &lt;!--------------分隔线---------------------&gt;
    &lt;div class="col-md-4 col-sm-6 t"&gt;
     &lt;div class="panel panel-default"&gt;
      &lt;div class="panel-heading"&gt;
       &lt;b&gt;&lt;a href="参数11" target="_blank" rel="nofollow"&gt;参数10&lt;/a&gt;&lt;/b&gt;
      &lt;/div&gt;
      &lt;div class="panel-body" style="height: 120px;overflow: hidden;"&gt;
         &lt;iframe width="421" scrolling="no"  frameborder="0" allowtransparency="true" src="参数13"&gt;&lt;/iframe&gt;
      &lt;/div&gt;
     &lt;/div&gt;
    &lt;/div&gt; 
</t>
  </si>
  <si>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jax抓取</t>
    </r>
  </si>
  <si>
    <t xml:space="preserve">     &lt;!--------------分隔线---------------------&gt;
    &lt;div class="col-md-4 col-sm-6 t"&gt;
     &lt;div class="panel panel-default"&gt;
      &lt;div class="panel-heading"&gt;
       &lt;b&gt;参数12&lt;/b&gt;
      &lt;/div&gt;
      &lt;div class="panel-body" style="height: 120px;overflow: hidden;"&gt;
         &lt;div &gt;&lt;h4 id="参数12"&gt;正在抓取...&lt;/h4&gt;&lt;/div&gt;
      &lt;/div&gt;
     &lt;/div&gt;
    &lt;/div&gt; 
&lt;script&gt;
$(document).ready(function(){
var myurl="参数13"
$("#参数12").load(myurl);
})
&lt;/script&gt;</t>
  </si>
  <si>
    <r>
      <rPr>
        <sz val="11"/>
        <color theme="1"/>
        <rFont val="宋体"/>
        <charset val="134"/>
        <scheme val="minor"/>
      </rPr>
      <t xml:space="preserve"> </t>
    </r>
    <r>
      <rPr>
        <sz val="11"/>
        <color theme="1"/>
        <rFont val="宋体"/>
        <charset val="134"/>
        <scheme val="minor"/>
      </rPr>
      <t xml:space="preserve"> </t>
    </r>
  </si>
  <si>
    <r>
      <t>d</t>
    </r>
    <r>
      <rPr>
        <sz val="12"/>
        <color rgb="FF333333"/>
        <rFont val="微软雅黑"/>
        <family val="2"/>
        <charset val="134"/>
      </rPr>
      <t>:\</t>
    </r>
    <phoneticPr fontId="9" type="noConversion"/>
  </si>
  <si>
    <r>
      <t>X</t>
    </r>
    <r>
      <rPr>
        <sz val="11"/>
        <color theme="1"/>
        <rFont val="宋体"/>
        <family val="3"/>
        <charset val="134"/>
        <scheme val="minor"/>
      </rPr>
      <t>XX</t>
    </r>
    <r>
      <rPr>
        <sz val="11"/>
        <color theme="1"/>
        <rFont val="宋体"/>
        <charset val="134"/>
        <scheme val="minor"/>
      </rPr>
      <t>的个人导航页</t>
    </r>
    <phoneticPr fontId="9" type="noConversion"/>
  </si>
  <si>
    <t>网页后部(不能删)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</si>
</sst>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宋体"/>
      <charset val="134"/>
      <scheme val="minor"/>
    </font>
    <font>
      <b/>
      <sz val="11"/>
      <color theme="3" tint="0.39960936307870726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sz val="11"/>
      <name val="宋体"/>
      <charset val="134"/>
      <scheme val="minor"/>
    </font>
    <font>
      <sz val="12"/>
      <color rgb="FF333333"/>
      <name val="微软雅黑"/>
      <charset val="134"/>
    </font>
    <font>
      <u/>
      <sz val="11"/>
      <color rgb="FF0000FF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2"/>
      <color rgb="FF333333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79979857783745845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>
      <alignment vertical="center"/>
    </xf>
    <xf numFmtId="0" fontId="7" fillId="0" borderId="0">
      <alignment vertical="center"/>
    </xf>
  </cellStyleXfs>
  <cellXfs count="5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Alignment="1">
      <alignment vertical="center"/>
    </xf>
    <xf numFmtId="0" fontId="0" fillId="0" borderId="0" xfId="0" applyFont="1" applyFill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Font="1" applyAlignment="1">
      <alignment vertical="top" wrapTex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ill="1" applyBorder="1" applyAlignment="1">
      <alignment vertical="center" wrapText="1"/>
    </xf>
    <xf numFmtId="0" fontId="0" fillId="2" borderId="0" xfId="0" applyFill="1" applyBorder="1" applyAlignment="1">
      <alignment horizontal="center" vertical="center"/>
    </xf>
    <xf numFmtId="0" fontId="0" fillId="0" borderId="0" xfId="0" applyNumberFormat="1" applyFill="1" applyBorder="1" applyAlignment="1">
      <alignment vertical="center" wrapText="1" shrinkToFit="1"/>
    </xf>
    <xf numFmtId="0" fontId="0" fillId="0" borderId="0" xfId="0" applyNumberFormat="1" applyAlignment="1">
      <alignment wrapText="1" shrinkToFit="1"/>
    </xf>
    <xf numFmtId="0" fontId="0" fillId="0" borderId="0" xfId="0" applyNumberFormat="1" applyFont="1" applyFill="1" applyAlignment="1">
      <alignment wrapText="1" shrinkToFit="1"/>
    </xf>
    <xf numFmtId="0" fontId="0" fillId="0" borderId="0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4" borderId="0" xfId="0" applyFill="1" applyBorder="1" applyAlignment="1">
      <alignment vertical="center" shrinkToFit="1"/>
    </xf>
    <xf numFmtId="0" fontId="0" fillId="0" borderId="0" xfId="0" applyFill="1" applyBorder="1" applyAlignment="1">
      <alignment vertical="center" shrinkToFit="1"/>
    </xf>
    <xf numFmtId="0" fontId="2" fillId="5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0" fillId="6" borderId="0" xfId="0" applyFill="1" applyBorder="1" applyAlignment="1">
      <alignment vertical="top" wrapText="1"/>
    </xf>
    <xf numFmtId="0" fontId="0" fillId="5" borderId="0" xfId="0" applyFill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 wrapText="1" shrinkToFit="1"/>
    </xf>
    <xf numFmtId="0" fontId="3" fillId="0" borderId="0" xfId="0" applyNumberFormat="1" applyFont="1" applyFill="1" applyBorder="1" applyAlignment="1">
      <alignment vertical="center" wrapText="1" shrinkToFit="1"/>
    </xf>
    <xf numFmtId="0" fontId="3" fillId="0" borderId="0" xfId="0" applyNumberFormat="1" applyFont="1" applyFill="1" applyBorder="1" applyAlignment="1">
      <alignment horizontal="center" vertical="center" wrapText="1" shrinkToFit="1"/>
    </xf>
    <xf numFmtId="0" fontId="3" fillId="0" borderId="0" xfId="0" applyNumberFormat="1" applyFont="1" applyFill="1" applyAlignment="1">
      <alignment horizontal="center" vertical="center" wrapText="1" shrinkToFit="1"/>
    </xf>
    <xf numFmtId="0" fontId="0" fillId="0" borderId="0" xfId="0" applyNumberFormat="1" applyFont="1" applyFill="1" applyBorder="1" applyAlignment="1">
      <alignment vertical="center" wrapText="1" shrinkToFit="1"/>
    </xf>
    <xf numFmtId="0" fontId="0" fillId="3" borderId="0" xfId="0" applyNumberFormat="1" applyFont="1" applyFill="1" applyBorder="1" applyAlignment="1">
      <alignment vertical="center" wrapText="1" shrinkToFit="1"/>
    </xf>
    <xf numFmtId="0" fontId="4" fillId="0" borderId="0" xfId="0" applyFont="1" applyFill="1" applyBorder="1" applyAlignment="1">
      <alignment horizontal="center" vertical="center" shrinkToFit="1"/>
    </xf>
    <xf numFmtId="0" fontId="0" fillId="3" borderId="0" xfId="0" applyNumberFormat="1" applyFont="1" applyFill="1" applyBorder="1" applyAlignment="1">
      <alignment vertical="center" shrinkToFit="1"/>
    </xf>
    <xf numFmtId="0" fontId="0" fillId="4" borderId="0" xfId="0" applyFill="1" applyBorder="1" applyAlignment="1">
      <alignment vertical="center" wrapText="1" shrinkToFit="1"/>
    </xf>
    <xf numFmtId="0" fontId="0" fillId="0" borderId="0" xfId="0" applyFill="1" applyBorder="1" applyAlignment="1">
      <alignment vertical="center" wrapText="1" shrinkToFit="1"/>
    </xf>
    <xf numFmtId="0" fontId="0" fillId="2" borderId="0" xfId="0" applyFont="1" applyFill="1" applyBorder="1" applyAlignment="1">
      <alignment horizontal="center" vertical="center" shrinkToFit="1"/>
    </xf>
    <xf numFmtId="0" fontId="0" fillId="4" borderId="0" xfId="0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 shrinkToFit="1"/>
    </xf>
    <xf numFmtId="0" fontId="6" fillId="0" borderId="0" xfId="1" applyNumberFormat="1" applyFill="1" applyBorder="1" applyAlignment="1">
      <alignment vertical="center" wrapText="1" shrinkToFit="1"/>
    </xf>
    <xf numFmtId="0" fontId="6" fillId="0" borderId="0" xfId="1" applyNumberFormat="1" applyFill="1" applyAlignment="1">
      <alignment wrapText="1" shrinkToFit="1"/>
    </xf>
    <xf numFmtId="0" fontId="0" fillId="0" borderId="0" xfId="0" applyNumberFormat="1" applyFont="1" applyFill="1" applyBorder="1" applyAlignment="1">
      <alignment vertical="center" shrinkToFit="1"/>
    </xf>
    <xf numFmtId="0" fontId="0" fillId="0" borderId="0" xfId="0" applyNumberFormat="1" applyFont="1" applyFill="1" applyAlignment="1">
      <alignment vertical="center" shrinkToFit="1"/>
    </xf>
    <xf numFmtId="0" fontId="6" fillId="0" borderId="0" xfId="1" applyNumberFormat="1" applyFill="1" applyBorder="1" applyAlignment="1">
      <alignment vertical="center" shrinkToFit="1"/>
    </xf>
    <xf numFmtId="0" fontId="0" fillId="0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0" fontId="0" fillId="4" borderId="0" xfId="0" applyFill="1" applyBorder="1" applyAlignment="1">
      <alignment horizontal="left" vertical="center"/>
    </xf>
    <xf numFmtId="0" fontId="10" fillId="0" borderId="0" xfId="0" applyFont="1" applyFill="1" applyAlignment="1">
      <alignment vertical="center" shrinkToFit="1"/>
    </xf>
    <xf numFmtId="0" fontId="11" fillId="3" borderId="0" xfId="0" applyFont="1" applyFill="1" applyBorder="1" applyAlignment="1">
      <alignment vertical="center" wrapText="1"/>
    </xf>
  </cellXfs>
  <cellStyles count="3">
    <cellStyle name="常规" xfId="0" builtinId="0"/>
    <cellStyle name="常规 3" xfId="2"/>
    <cellStyle name="超链接" xfId="1" builtinId="8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238125</xdr:colOff>
          <xdr:row>1</xdr:row>
          <xdr:rowOff>28575</xdr:rowOff>
        </xdr:from>
        <xdr:to>
          <xdr:col>18</xdr:col>
          <xdr:colOff>209550</xdr:colOff>
          <xdr:row>1</xdr:row>
          <xdr:rowOff>419100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生成首页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O35"/>
  <sheetViews>
    <sheetView tabSelected="1" topLeftCell="A2" zoomScale="85" zoomScaleNormal="85" workbookViewId="0">
      <selection activeCell="N28" sqref="N28"/>
    </sheetView>
  </sheetViews>
  <sheetFormatPr defaultColWidth="9" defaultRowHeight="13.5" x14ac:dyDescent="0.15"/>
  <cols>
    <col min="1" max="1" width="11.25" style="19" customWidth="1"/>
    <col min="2" max="2" width="24.375" style="19" customWidth="1"/>
    <col min="3" max="3" width="3.5" style="19" hidden="1" customWidth="1"/>
    <col min="4" max="4" width="15.875" style="19" hidden="1" customWidth="1"/>
    <col min="5" max="5" width="10.5" style="19" hidden="1" customWidth="1"/>
    <col min="6" max="6" width="23.25" style="19" hidden="1" customWidth="1"/>
    <col min="7" max="7" width="7.5" style="19" hidden="1" customWidth="1"/>
    <col min="8" max="8" width="7.125" style="20" hidden="1" customWidth="1"/>
    <col min="9" max="9" width="12.375" style="21" hidden="1" customWidth="1"/>
    <col min="10" max="10" width="10" style="20" customWidth="1"/>
    <col min="11" max="11" width="6.375" style="21" customWidth="1"/>
    <col min="12" max="12" width="12.625" style="22" customWidth="1"/>
    <col min="13" max="13" width="3.625" style="22" customWidth="1"/>
    <col min="14" max="14" width="12.625" style="22" customWidth="1"/>
    <col min="15" max="15" width="3.625" style="22" customWidth="1"/>
    <col min="16" max="16" width="12.625" style="22" customWidth="1"/>
    <col min="17" max="17" width="3.625" style="22" customWidth="1"/>
    <col min="18" max="18" width="12.625" style="22" customWidth="1"/>
    <col min="19" max="19" width="3.625" style="19" customWidth="1"/>
    <col min="20" max="20" width="12.625" style="19" customWidth="1"/>
    <col min="21" max="21" width="3.625" style="19" customWidth="1"/>
    <col min="22" max="22" width="12.625" style="19" customWidth="1"/>
    <col min="23" max="23" width="6.125" style="19" customWidth="1"/>
    <col min="24" max="24" width="12.625" style="19" customWidth="1"/>
    <col min="25" max="25" width="3.625" style="19" customWidth="1"/>
    <col min="26" max="26" width="12.625" style="19" customWidth="1"/>
    <col min="27" max="41" width="3.625" style="19" customWidth="1"/>
    <col min="42" max="16384" width="9" style="19"/>
  </cols>
  <sheetData>
    <row r="1" spans="1:18" ht="70.900000000000006" hidden="1" customHeight="1" x14ac:dyDescent="0.15">
      <c r="A1" s="23" t="s">
        <v>191</v>
      </c>
      <c r="B1" s="24" t="str">
        <f>IF(ISERROR(VLOOKUP(A1,常用代码!A:F,2,FALSE)),"",VLOOKUP(A1,常用代码!A:F,2,FALSE))</f>
        <v xml:space="preserve">
   &lt;/div&gt;
  &lt;/div&gt;
  &lt;div class="footer"&gt;
   &lt;div class="content"&gt;
    &lt;p&gt;  2020 &lt;a href="http://upsir.com/" &gt;老黄牛自用导航|老黄牛| 邮箱：187277552@qq.com &lt;/p&gt;&lt;/a&gt; 
   &lt;/div&gt;
  &lt;/div&gt;
  &lt;div class="back_to_top"&gt;&lt;span class="glyphicon glyphicon-triangle-top" aria-hidden="true"&gt;&lt;/span&gt;&lt;/div&gt;
  &lt;script src="static/js/master.js"&gt;&lt;/script&gt;
&lt;script &gt;
$(document).ready(function(){
        $.ajax({
        type: "get",
        url: "http://ms.upsir.com/index.php/Qwadmin/info/tzcpage.html?user=2013014",
        dataType:'JSONP',
        data:{ //【这里填写是传给服务端的数据 可传可不传 数据必须是json格式】
            "a":"b",
            "c":"d"
        },
        success: function(data) { //【成功回调】
        },
        error: function(xhr, type) { //【失败回调】
        }
        });
});
&lt;/script&gt;
&lt;body style="background:#fffae8"&gt;
&lt;/body&gt;
&lt;/html&gt;</v>
      </c>
      <c r="C1" s="24" t="str">
        <f>IF(LEN(IF(ISERROR(VLOOKUP(A1,常用代码!A:F,3,FALSE)),"",VLOOKUP(A1,常用代码!A:F,3,FALSE)))&lt;2,"",VLOOKUP(A1,常用代码!A:F,3,FALSE))</f>
        <v/>
      </c>
      <c r="D1" s="25" t="str">
        <f>IF(LEN(IF(ISERROR(VLOOKUP(A1,常用代码!A:F,4,FALSE)),"",VLOOKUP(A1,常用代码!A:F,4,FALSE)))&lt;2,"",VLOOKUP(A1,常用代码!A:F,4,FALSE))</f>
        <v/>
      </c>
      <c r="E1" s="24" t="str">
        <f>IF(LEN(IF(ISERROR(VLOOKUP(A1,常用代码!A:F,5,FALSE)),"",VLOOKUP(A1,常用代码!A:F,5,FALSE)))&lt;2,"",VLOOKUP(A1,常用代码!A:F,5,FALSE))</f>
        <v/>
      </c>
    </row>
    <row r="2" spans="1:18" ht="37.5" customHeight="1" x14ac:dyDescent="0.15">
      <c r="A2" s="26" t="s">
        <v>1</v>
      </c>
      <c r="B2" s="27" t="s">
        <v>2</v>
      </c>
    </row>
    <row r="3" spans="1:18" s="14" customFormat="1" ht="45.75" hidden="1" customHeight="1" x14ac:dyDescent="0.15">
      <c r="A3" s="14" t="str">
        <f>IF(ISERROR(VLOOKUP(A1,常用代码!A:I,7,FALSE)&amp;""),"",VLOOKUP(A1,常用代码!A:I,7,FALSE)&amp;"")</f>
        <v>无参数</v>
      </c>
      <c r="B3" s="14" t="str">
        <f>IF(ISERROR(VLOOKUP(A1,常用代码!A:I,8,FALSE)&amp;""),"",VLOOKUP(A1,常用代码!A:I,8,FALSE)&amp;"")</f>
        <v/>
      </c>
      <c r="C3" s="14" t="str">
        <f>IF(ISERROR(VLOOKUP(A1,常用代码!A:I,9,FALSE)&amp;""),"",VLOOKUP(A1,常用代码!A:I,9,FALSE)&amp;"")</f>
        <v/>
      </c>
      <c r="H3" s="28"/>
      <c r="I3" s="39"/>
      <c r="J3" s="28"/>
      <c r="K3" s="39"/>
      <c r="L3" s="40"/>
      <c r="M3" s="40"/>
      <c r="N3" s="40"/>
      <c r="O3" s="40"/>
      <c r="P3" s="40"/>
      <c r="Q3" s="40"/>
      <c r="R3" s="40"/>
    </row>
    <row r="4" spans="1:18" hidden="1" x14ac:dyDescent="0.15"/>
    <row r="5" spans="1:18" hidden="1" x14ac:dyDescent="0.15"/>
    <row r="6" spans="1:18" hidden="1" x14ac:dyDescent="0.15"/>
    <row r="7" spans="1:18" hidden="1" x14ac:dyDescent="0.15"/>
    <row r="8" spans="1:18" hidden="1" x14ac:dyDescent="0.15"/>
    <row r="9" spans="1:18" hidden="1" x14ac:dyDescent="0.15"/>
    <row r="10" spans="1:18" hidden="1" x14ac:dyDescent="0.15"/>
    <row r="11" spans="1:18" hidden="1" x14ac:dyDescent="0.15"/>
    <row r="12" spans="1:18" hidden="1" x14ac:dyDescent="0.15"/>
    <row r="13" spans="1:18" hidden="1" x14ac:dyDescent="0.15"/>
    <row r="14" spans="1:18" hidden="1" x14ac:dyDescent="0.15"/>
    <row r="15" spans="1:18" hidden="1" x14ac:dyDescent="0.15"/>
    <row r="16" spans="1:18" hidden="1" x14ac:dyDescent="0.15"/>
    <row r="17" spans="1:41" hidden="1" x14ac:dyDescent="0.15"/>
    <row r="18" spans="1:41" ht="38.450000000000003" hidden="1" customHeight="1" x14ac:dyDescent="0.15">
      <c r="A18" s="49" t="s">
        <v>3</v>
      </c>
      <c r="B18" s="49"/>
      <c r="C18" s="49"/>
      <c r="D18" s="49"/>
      <c r="E18" s="49"/>
      <c r="F18" s="49"/>
      <c r="G18" s="49"/>
      <c r="H18" s="50"/>
      <c r="I18" s="51"/>
      <c r="J18" s="50"/>
      <c r="K18" s="51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</row>
    <row r="19" spans="1:41" s="15" customFormat="1" ht="16.899999999999999" hidden="1" customHeight="1" x14ac:dyDescent="0.15">
      <c r="A19" s="29" t="s">
        <v>4</v>
      </c>
      <c r="B19" s="29" t="s">
        <v>5</v>
      </c>
      <c r="C19" s="29" t="s">
        <v>6</v>
      </c>
      <c r="D19" s="29" t="s">
        <v>7</v>
      </c>
      <c r="E19" s="29" t="s">
        <v>8</v>
      </c>
      <c r="F19" s="29" t="s">
        <v>9</v>
      </c>
      <c r="G19" s="29" t="s">
        <v>10</v>
      </c>
      <c r="H19" s="29" t="s">
        <v>11</v>
      </c>
      <c r="I19" s="29" t="s">
        <v>12</v>
      </c>
      <c r="J19" s="29" t="s">
        <v>13</v>
      </c>
      <c r="K19" s="29" t="s">
        <v>14</v>
      </c>
      <c r="L19" s="29" t="s">
        <v>15</v>
      </c>
      <c r="M19" s="41" t="s">
        <v>16</v>
      </c>
      <c r="N19" s="41" t="s">
        <v>17</v>
      </c>
      <c r="O19" s="41" t="s">
        <v>18</v>
      </c>
      <c r="P19" s="41" t="s">
        <v>19</v>
      </c>
      <c r="Q19" s="41" t="s">
        <v>20</v>
      </c>
      <c r="R19" s="41" t="s">
        <v>21</v>
      </c>
      <c r="S19" s="41" t="s">
        <v>22</v>
      </c>
      <c r="T19" s="41" t="s">
        <v>23</v>
      </c>
      <c r="U19" s="41" t="s">
        <v>24</v>
      </c>
      <c r="V19" s="41" t="s">
        <v>25</v>
      </c>
      <c r="W19" s="41" t="s">
        <v>26</v>
      </c>
      <c r="X19" s="41" t="s">
        <v>27</v>
      </c>
      <c r="Y19" s="41" t="s">
        <v>28</v>
      </c>
      <c r="Z19" s="41" t="s">
        <v>29</v>
      </c>
      <c r="AA19" s="41" t="s">
        <v>30</v>
      </c>
      <c r="AB19" s="41" t="s">
        <v>31</v>
      </c>
      <c r="AC19" s="41" t="s">
        <v>32</v>
      </c>
      <c r="AD19" s="41" t="s">
        <v>33</v>
      </c>
      <c r="AE19" s="41" t="s">
        <v>34</v>
      </c>
      <c r="AF19" s="41" t="s">
        <v>35</v>
      </c>
      <c r="AG19" s="41" t="s">
        <v>36</v>
      </c>
      <c r="AH19" s="41" t="s">
        <v>37</v>
      </c>
      <c r="AI19" s="41" t="s">
        <v>38</v>
      </c>
      <c r="AJ19" s="41" t="s">
        <v>39</v>
      </c>
      <c r="AK19" s="41" t="s">
        <v>40</v>
      </c>
      <c r="AL19" s="41" t="s">
        <v>41</v>
      </c>
      <c r="AM19" s="41" t="s">
        <v>42</v>
      </c>
      <c r="AN19" s="41" t="s">
        <v>43</v>
      </c>
      <c r="AO19" s="41" t="s">
        <v>44</v>
      </c>
    </row>
    <row r="20" spans="1:41" s="15" customFormat="1" ht="16.899999999999999" customHeight="1" x14ac:dyDescent="0.15">
      <c r="A20" s="15" t="s">
        <v>45</v>
      </c>
      <c r="B20" s="29" t="s">
        <v>46</v>
      </c>
      <c r="C20" s="15" t="s">
        <v>47</v>
      </c>
      <c r="D20" s="15" t="s">
        <v>48</v>
      </c>
      <c r="E20" s="15" t="s">
        <v>1</v>
      </c>
      <c r="F20" s="29" t="s">
        <v>49</v>
      </c>
      <c r="G20" s="15" t="s">
        <v>50</v>
      </c>
      <c r="H20" s="30" t="s">
        <v>51</v>
      </c>
      <c r="I20" s="42" t="s">
        <v>52</v>
      </c>
      <c r="J20" s="30" t="s">
        <v>53</v>
      </c>
      <c r="K20" s="42" t="s">
        <v>54</v>
      </c>
      <c r="L20" s="29">
        <v>1.1000000000000001</v>
      </c>
      <c r="M20" s="41" t="s">
        <v>55</v>
      </c>
      <c r="N20" s="41">
        <v>1.2</v>
      </c>
      <c r="O20" s="41" t="s">
        <v>18</v>
      </c>
      <c r="P20" s="41">
        <v>1.3</v>
      </c>
      <c r="Q20" s="41" t="s">
        <v>20</v>
      </c>
      <c r="R20" s="41">
        <v>2.1</v>
      </c>
      <c r="S20" s="41" t="s">
        <v>22</v>
      </c>
      <c r="T20" s="41">
        <v>2.2000000000000002</v>
      </c>
      <c r="V20" s="15">
        <v>2.2999999999999998</v>
      </c>
      <c r="X20" s="15">
        <v>3.1</v>
      </c>
      <c r="Z20" s="15">
        <v>3.2</v>
      </c>
      <c r="AB20" s="15">
        <v>3.3</v>
      </c>
    </row>
    <row r="21" spans="1:41" s="16" customFormat="1" ht="32.1" customHeight="1" x14ac:dyDescent="0.15">
      <c r="A21" s="31" t="s">
        <v>56</v>
      </c>
      <c r="B21" s="32" t="str">
        <f>VLOOKUP(A21,常用代码!A:J,7,FALSE)</f>
        <v>参数10：项部文字</v>
      </c>
      <c r="C21" s="33"/>
      <c r="D21" s="33"/>
      <c r="E21" s="33"/>
      <c r="F21" s="33"/>
      <c r="G21" s="33"/>
      <c r="H21" s="28"/>
      <c r="I21" s="39"/>
      <c r="J21" s="53" t="s">
        <v>190</v>
      </c>
      <c r="K21" s="21"/>
      <c r="L21" s="33"/>
      <c r="M21" s="33"/>
    </row>
    <row r="22" spans="1:41" s="17" customFormat="1" ht="32.1" customHeight="1" x14ac:dyDescent="0.15">
      <c r="A22" s="31" t="s">
        <v>57</v>
      </c>
      <c r="B22" s="32" t="str">
        <f>VLOOKUP(A22,常用代码!A:J,7,FALSE)</f>
        <v>无参数</v>
      </c>
      <c r="C22" s="34"/>
      <c r="D22" s="34"/>
      <c r="E22" s="34"/>
      <c r="F22" s="34"/>
      <c r="G22" s="34"/>
      <c r="H22" s="28"/>
      <c r="I22" s="39"/>
      <c r="J22" s="28"/>
      <c r="K22" s="21"/>
      <c r="L22" s="33"/>
      <c r="M22" s="33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</row>
    <row r="23" spans="1:41" s="18" customFormat="1" ht="32.1" customHeight="1" x14ac:dyDescent="0.15">
      <c r="A23" s="31" t="s">
        <v>58</v>
      </c>
      <c r="B23" s="32" t="str">
        <f>VLOOKUP(A23,常用代码!A:J,7,FALSE)</f>
        <v>参数10：标题名，参数11：标题的链接，参数12后标题及链接。</v>
      </c>
      <c r="H23" s="35"/>
      <c r="I23" s="40"/>
      <c r="J23" s="43" t="s">
        <v>59</v>
      </c>
      <c r="K23" s="52" t="s">
        <v>189</v>
      </c>
      <c r="L23" s="43" t="s">
        <v>60</v>
      </c>
      <c r="M23" s="52" t="s">
        <v>189</v>
      </c>
      <c r="N23" s="43" t="s">
        <v>61</v>
      </c>
      <c r="O23" s="52" t="s">
        <v>189</v>
      </c>
      <c r="P23" s="43" t="s">
        <v>62</v>
      </c>
      <c r="Q23" s="52" t="s">
        <v>189</v>
      </c>
      <c r="R23" s="43" t="s">
        <v>63</v>
      </c>
      <c r="S23" s="52" t="s">
        <v>189</v>
      </c>
      <c r="T23" s="43" t="s">
        <v>64</v>
      </c>
      <c r="U23" s="52" t="s">
        <v>189</v>
      </c>
      <c r="V23" s="43" t="s">
        <v>65</v>
      </c>
      <c r="W23" s="52" t="s">
        <v>189</v>
      </c>
      <c r="X23" s="43" t="s">
        <v>66</v>
      </c>
      <c r="Y23" s="52" t="s">
        <v>189</v>
      </c>
      <c r="Z23" s="46" t="s">
        <v>67</v>
      </c>
      <c r="AA23" s="52" t="s">
        <v>189</v>
      </c>
      <c r="AE23" s="35"/>
      <c r="AF23" s="35"/>
      <c r="AG23" s="35"/>
      <c r="AH23" s="35"/>
      <c r="AI23" s="35"/>
      <c r="AJ23" s="35"/>
      <c r="AK23" s="35"/>
      <c r="AL23" s="35"/>
    </row>
    <row r="24" spans="1:41" s="18" customFormat="1" ht="32.1" customHeight="1" x14ac:dyDescent="0.15">
      <c r="A24" s="31" t="s">
        <v>58</v>
      </c>
      <c r="B24" s="32" t="str">
        <f>VLOOKUP(A24,常用代码!A:J,7,FALSE)</f>
        <v>参数10：标题名，参数11：标题的链接，参数12后标题及链接。</v>
      </c>
      <c r="H24" s="35"/>
      <c r="I24" s="40"/>
      <c r="J24" s="43" t="s">
        <v>68</v>
      </c>
      <c r="K24" s="52" t="s">
        <v>189</v>
      </c>
      <c r="L24" s="43" t="s">
        <v>69</v>
      </c>
      <c r="M24" s="52" t="s">
        <v>189</v>
      </c>
      <c r="N24" s="43" t="s">
        <v>70</v>
      </c>
      <c r="O24" s="52" t="s">
        <v>189</v>
      </c>
      <c r="P24" s="43"/>
      <c r="Q24" s="43"/>
      <c r="R24" s="43"/>
      <c r="S24" s="43"/>
      <c r="T24" s="43"/>
      <c r="U24" s="43"/>
      <c r="V24" s="43"/>
      <c r="W24" s="43"/>
      <c r="X24" s="43"/>
      <c r="Y24" s="46"/>
      <c r="Z24" s="47"/>
      <c r="AA24" s="46"/>
      <c r="AB24" s="46"/>
      <c r="AC24" s="46"/>
      <c r="AE24" s="35"/>
      <c r="AF24" s="35"/>
      <c r="AG24" s="35"/>
      <c r="AH24" s="35"/>
      <c r="AI24" s="35"/>
      <c r="AJ24" s="35"/>
      <c r="AK24" s="35"/>
      <c r="AL24" s="35"/>
    </row>
    <row r="25" spans="1:41" s="18" customFormat="1" ht="32.1" customHeight="1" x14ac:dyDescent="0.15">
      <c r="A25" s="31" t="s">
        <v>58</v>
      </c>
      <c r="B25" s="32" t="str">
        <f>VLOOKUP(A25,常用代码!A:J,7,FALSE)</f>
        <v>参数10：标题名，参数11：标题的链接，参数12后标题及链接。</v>
      </c>
      <c r="H25" s="35"/>
      <c r="I25" s="40"/>
      <c r="J25" s="43" t="s">
        <v>71</v>
      </c>
      <c r="K25" s="43"/>
      <c r="L25" s="43" t="s">
        <v>71</v>
      </c>
      <c r="M25" s="43" t="s">
        <v>72</v>
      </c>
      <c r="N25" s="43" t="s">
        <v>73</v>
      </c>
      <c r="O25" s="43" t="s">
        <v>74</v>
      </c>
      <c r="P25" s="43" t="s">
        <v>75</v>
      </c>
      <c r="Q25" s="43" t="s">
        <v>76</v>
      </c>
      <c r="R25" s="43" t="s">
        <v>77</v>
      </c>
      <c r="S25" s="43" t="s">
        <v>78</v>
      </c>
      <c r="T25" s="43" t="s">
        <v>79</v>
      </c>
      <c r="U25" s="43" t="s">
        <v>80</v>
      </c>
      <c r="V25" s="43" t="s">
        <v>81</v>
      </c>
      <c r="W25" s="43" t="s">
        <v>82</v>
      </c>
      <c r="X25" s="43" t="s">
        <v>83</v>
      </c>
      <c r="Y25" s="46" t="s">
        <v>84</v>
      </c>
      <c r="Z25" s="46" t="s">
        <v>85</v>
      </c>
      <c r="AA25" s="52" t="s">
        <v>189</v>
      </c>
      <c r="AB25" s="46"/>
      <c r="AC25" s="46"/>
      <c r="AE25" s="35"/>
      <c r="AF25" s="35"/>
      <c r="AG25" s="35"/>
      <c r="AH25" s="35"/>
      <c r="AI25" s="35"/>
      <c r="AJ25" s="35"/>
      <c r="AK25" s="35"/>
      <c r="AL25" s="35"/>
    </row>
    <row r="26" spans="1:41" s="18" customFormat="1" ht="32.1" customHeight="1" x14ac:dyDescent="0.15">
      <c r="A26" s="31" t="s">
        <v>58</v>
      </c>
      <c r="B26" s="32" t="str">
        <f>VLOOKUP(A26,常用代码!A:J,7,FALSE)</f>
        <v>参数10：标题名，参数11：标题的链接，参数12后标题及链接。</v>
      </c>
      <c r="H26" s="35"/>
      <c r="I26" s="40"/>
      <c r="J26" s="43" t="s">
        <v>86</v>
      </c>
      <c r="K26" s="52" t="s">
        <v>189</v>
      </c>
      <c r="L26" s="43" t="s">
        <v>87</v>
      </c>
      <c r="M26" s="52" t="s">
        <v>189</v>
      </c>
      <c r="N26" s="43" t="s">
        <v>88</v>
      </c>
      <c r="O26" s="52" t="s">
        <v>189</v>
      </c>
      <c r="P26" s="43" t="s">
        <v>89</v>
      </c>
      <c r="Q26" s="52" t="s">
        <v>189</v>
      </c>
      <c r="R26" s="43" t="s">
        <v>90</v>
      </c>
      <c r="S26" s="52" t="s">
        <v>189</v>
      </c>
      <c r="T26" s="43" t="s">
        <v>91</v>
      </c>
      <c r="U26" s="52" t="s">
        <v>189</v>
      </c>
      <c r="V26" s="43" t="s">
        <v>92</v>
      </c>
      <c r="W26" s="52" t="s">
        <v>189</v>
      </c>
      <c r="X26" s="43" t="s">
        <v>93</v>
      </c>
      <c r="Y26" s="52" t="s">
        <v>189</v>
      </c>
      <c r="Z26" s="46" t="s">
        <v>94</v>
      </c>
      <c r="AA26" s="52" t="s">
        <v>189</v>
      </c>
      <c r="AB26" s="46"/>
      <c r="AC26" s="46"/>
      <c r="AE26" s="35"/>
      <c r="AF26" s="35"/>
      <c r="AG26" s="35"/>
      <c r="AH26" s="35"/>
      <c r="AI26" s="35"/>
      <c r="AJ26" s="35"/>
      <c r="AK26" s="35"/>
      <c r="AL26" s="35"/>
    </row>
    <row r="27" spans="1:41" s="18" customFormat="1" ht="32.1" customHeight="1" x14ac:dyDescent="0.15">
      <c r="A27" s="31" t="s">
        <v>58</v>
      </c>
      <c r="B27" s="32" t="str">
        <f>VLOOKUP(A27,常用代码!A:J,7,FALSE)</f>
        <v>参数10：标题名，参数11：标题的链接，参数12后标题及链接。</v>
      </c>
      <c r="H27" s="35"/>
      <c r="I27" s="40"/>
      <c r="J27" s="43" t="s">
        <v>95</v>
      </c>
      <c r="K27" s="52" t="s">
        <v>189</v>
      </c>
      <c r="L27" s="43" t="s">
        <v>96</v>
      </c>
      <c r="M27" s="52" t="s">
        <v>189</v>
      </c>
      <c r="N27" s="43" t="s">
        <v>97</v>
      </c>
      <c r="O27" s="52" t="s">
        <v>189</v>
      </c>
      <c r="P27" s="43" t="s">
        <v>98</v>
      </c>
      <c r="Q27" s="52" t="s">
        <v>189</v>
      </c>
      <c r="R27" s="43" t="s">
        <v>99</v>
      </c>
      <c r="S27" s="52" t="s">
        <v>189</v>
      </c>
      <c r="T27" s="43" t="s">
        <v>100</v>
      </c>
      <c r="U27" s="52" t="s">
        <v>189</v>
      </c>
      <c r="V27" s="43" t="s">
        <v>101</v>
      </c>
      <c r="W27" s="52" t="s">
        <v>189</v>
      </c>
      <c r="X27" s="43" t="s">
        <v>102</v>
      </c>
      <c r="Y27" s="52" t="s">
        <v>189</v>
      </c>
      <c r="Z27" s="46" t="s">
        <v>103</v>
      </c>
      <c r="AA27" s="52" t="s">
        <v>189</v>
      </c>
      <c r="AB27" s="46"/>
      <c r="AC27" s="46"/>
      <c r="AE27" s="35"/>
      <c r="AF27" s="35"/>
      <c r="AG27" s="35"/>
      <c r="AH27" s="35"/>
      <c r="AI27" s="35"/>
      <c r="AJ27" s="35"/>
      <c r="AK27" s="35"/>
      <c r="AL27" s="35"/>
    </row>
    <row r="28" spans="1:41" s="18" customFormat="1" ht="32.1" customHeight="1" x14ac:dyDescent="0.15">
      <c r="A28" s="31" t="s">
        <v>58</v>
      </c>
      <c r="B28" s="32" t="str">
        <f>VLOOKUP(A28,常用代码!A:J,7,FALSE)</f>
        <v>参数10：标题名，参数11：标题的链接，参数12后标题及链接。</v>
      </c>
      <c r="H28" s="35"/>
      <c r="I28" s="40"/>
      <c r="J28" s="43" t="s">
        <v>104</v>
      </c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6"/>
      <c r="Z28" s="46"/>
      <c r="AA28" s="46"/>
      <c r="AB28" s="46"/>
      <c r="AC28" s="46"/>
      <c r="AE28" s="35"/>
      <c r="AF28" s="35"/>
      <c r="AG28" s="35"/>
      <c r="AH28" s="35"/>
      <c r="AI28" s="35"/>
      <c r="AJ28" s="35"/>
      <c r="AK28" s="35"/>
      <c r="AL28" s="35"/>
    </row>
    <row r="29" spans="1:41" s="18" customFormat="1" ht="32.1" customHeight="1" x14ac:dyDescent="0.15">
      <c r="A29" s="31" t="s">
        <v>58</v>
      </c>
      <c r="B29" s="32" t="str">
        <f>VLOOKUP(A29,常用代码!A:J,7,FALSE)</f>
        <v>参数10：标题名，参数11：标题的链接，参数12后标题及链接。</v>
      </c>
      <c r="H29" s="35"/>
      <c r="I29" s="40"/>
      <c r="J29" s="43" t="s">
        <v>105</v>
      </c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6"/>
      <c r="Z29" s="46"/>
      <c r="AA29" s="46"/>
      <c r="AB29" s="46"/>
      <c r="AC29" s="46"/>
      <c r="AE29" s="35"/>
      <c r="AF29" s="35"/>
      <c r="AG29" s="35"/>
      <c r="AH29" s="35"/>
      <c r="AI29" s="35"/>
      <c r="AJ29" s="35"/>
      <c r="AK29" s="35"/>
      <c r="AL29" s="35"/>
    </row>
    <row r="30" spans="1:41" s="18" customFormat="1" ht="32.1" customHeight="1" x14ac:dyDescent="0.15">
      <c r="A30" s="31" t="s">
        <v>58</v>
      </c>
      <c r="B30" s="32" t="str">
        <f>VLOOKUP(A30,常用代码!A:J,7,FALSE)</f>
        <v>参数10：标题名，参数11：标题的链接，参数12后标题及链接。</v>
      </c>
      <c r="H30" s="35"/>
      <c r="I30" s="40"/>
      <c r="J30" s="43" t="s">
        <v>106</v>
      </c>
      <c r="K30" s="43"/>
      <c r="L30" s="43" t="s">
        <v>107</v>
      </c>
      <c r="M30" s="43" t="s">
        <v>108</v>
      </c>
      <c r="N30" s="43" t="s">
        <v>109</v>
      </c>
      <c r="O30" s="43" t="s">
        <v>110</v>
      </c>
      <c r="P30" s="43"/>
      <c r="Q30" s="43"/>
      <c r="R30" s="43" t="s">
        <v>111</v>
      </c>
      <c r="S30" s="43" t="s">
        <v>112</v>
      </c>
      <c r="T30" s="43"/>
      <c r="U30" s="43"/>
      <c r="V30" s="43"/>
      <c r="W30" s="43"/>
      <c r="X30" s="43"/>
      <c r="Y30" s="46"/>
      <c r="Z30" s="48"/>
      <c r="AA30" s="46"/>
      <c r="AB30" s="46"/>
      <c r="AC30" s="46"/>
      <c r="AE30" s="35"/>
      <c r="AF30" s="35"/>
      <c r="AG30" s="35"/>
      <c r="AH30" s="35"/>
      <c r="AI30" s="35"/>
      <c r="AJ30" s="35"/>
      <c r="AK30" s="35"/>
      <c r="AL30" s="35"/>
    </row>
    <row r="31" spans="1:41" s="18" customFormat="1" ht="32.1" customHeight="1" x14ac:dyDescent="0.15">
      <c r="A31" s="31" t="s">
        <v>113</v>
      </c>
      <c r="B31" s="32" t="str">
        <f>VLOOKUP(A31,常用代码!A:J,7,FALSE)</f>
        <v>无参数</v>
      </c>
      <c r="H31" s="36"/>
      <c r="I31" s="39"/>
      <c r="J31" s="36"/>
      <c r="K31" s="21"/>
      <c r="L31" s="35"/>
      <c r="M31" s="44"/>
      <c r="N31" s="35"/>
      <c r="O31" s="45"/>
      <c r="P31" s="35"/>
      <c r="Q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</row>
    <row r="32" spans="1:41" s="16" customFormat="1" ht="32.1" customHeight="1" x14ac:dyDescent="0.15">
      <c r="A32" s="31" t="s">
        <v>0</v>
      </c>
      <c r="B32" s="32" t="str">
        <f>VLOOKUP(A32,常用代码!A:J,7,FALSE)</f>
        <v>无参数</v>
      </c>
      <c r="H32" s="36"/>
      <c r="I32" s="39"/>
      <c r="J32" s="36"/>
      <c r="K32" s="39"/>
    </row>
    <row r="33" spans="1:10" x14ac:dyDescent="0.15">
      <c r="A33" s="37"/>
      <c r="H33" s="38"/>
      <c r="J33" s="38"/>
    </row>
    <row r="34" spans="1:10" x14ac:dyDescent="0.15">
      <c r="A34" s="37"/>
    </row>
    <row r="35" spans="1:10" x14ac:dyDescent="0.15">
      <c r="A35" s="37"/>
    </row>
  </sheetData>
  <mergeCells count="1">
    <mergeCell ref="A18:V18"/>
  </mergeCells>
  <phoneticPr fontId="9" type="noConversion"/>
  <dataValidations count="1">
    <dataValidation type="list" allowBlank="1" showInputMessage="1" showErrorMessage="1" sqref="H1 J1">
      <formula1>"QQ粘贴并回车.vbs,发QQ消息可用.vbs"</formula1>
    </dataValidation>
  </dataValidation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12" r:id="rId4" name="Button 20">
              <controlPr defaultSize="0" print="0" autoPict="0" macro="[0]!多脚本_批量替换并打开文件">
                <anchor>
                  <from>
                    <xdr:col>17</xdr:col>
                    <xdr:colOff>238125</xdr:colOff>
                    <xdr:row>1</xdr:row>
                    <xdr:rowOff>28575</xdr:rowOff>
                  </from>
                  <to>
                    <xdr:col>18</xdr:col>
                    <xdr:colOff>209550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常用代码!$A:$A</xm:f>
          </x14:formula1>
          <xm:sqref>A1 A21:A35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D30"/>
  <sheetViews>
    <sheetView workbookViewId="0">
      <selection activeCell="B22" sqref="B1:B22"/>
    </sheetView>
  </sheetViews>
  <sheetFormatPr defaultColWidth="8.875" defaultRowHeight="13.5" x14ac:dyDescent="0.15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 x14ac:dyDescent="0.15">
      <c r="A1" t="s">
        <v>114</v>
      </c>
      <c r="B1" t="s">
        <v>115</v>
      </c>
      <c r="D1" s="10"/>
    </row>
    <row r="2" spans="1:4" x14ac:dyDescent="0.15">
      <c r="A2" t="s">
        <v>116</v>
      </c>
      <c r="B2" t="s">
        <v>117</v>
      </c>
      <c r="D2" s="11"/>
    </row>
    <row r="3" spans="1:4" x14ac:dyDescent="0.15">
      <c r="A3" t="s">
        <v>118</v>
      </c>
      <c r="D3" s="12"/>
    </row>
    <row r="4" spans="1:4" x14ac:dyDescent="0.15">
      <c r="A4" t="s">
        <v>119</v>
      </c>
      <c r="D4" s="12"/>
    </row>
    <row r="5" spans="1:4" x14ac:dyDescent="0.15">
      <c r="A5" t="s">
        <v>120</v>
      </c>
      <c r="D5" s="13"/>
    </row>
    <row r="6" spans="1:4" x14ac:dyDescent="0.15">
      <c r="A6" t="s">
        <v>121</v>
      </c>
    </row>
    <row r="7" spans="1:4" x14ac:dyDescent="0.15">
      <c r="A7" t="s">
        <v>122</v>
      </c>
    </row>
    <row r="8" spans="1:4" x14ac:dyDescent="0.15">
      <c r="A8" t="s">
        <v>123</v>
      </c>
    </row>
    <row r="9" spans="1:4" x14ac:dyDescent="0.15">
      <c r="A9" t="s">
        <v>124</v>
      </c>
    </row>
    <row r="10" spans="1:4" x14ac:dyDescent="0.15">
      <c r="A10" t="s">
        <v>125</v>
      </c>
    </row>
    <row r="11" spans="1:4" x14ac:dyDescent="0.15">
      <c r="A11" t="s">
        <v>126</v>
      </c>
      <c r="B11" t="s">
        <v>127</v>
      </c>
    </row>
    <row r="12" spans="1:4" x14ac:dyDescent="0.15">
      <c r="A12" t="s">
        <v>128</v>
      </c>
    </row>
    <row r="13" spans="1:4" x14ac:dyDescent="0.15">
      <c r="A13" t="s">
        <v>129</v>
      </c>
    </row>
    <row r="14" spans="1:4" x14ac:dyDescent="0.15">
      <c r="A14" t="s">
        <v>130</v>
      </c>
    </row>
    <row r="15" spans="1:4" x14ac:dyDescent="0.15">
      <c r="A15" t="s">
        <v>131</v>
      </c>
    </row>
    <row r="16" spans="1:4" x14ac:dyDescent="0.15">
      <c r="A16" t="s">
        <v>132</v>
      </c>
    </row>
    <row r="17" spans="1:1" x14ac:dyDescent="0.15">
      <c r="A17" t="s">
        <v>133</v>
      </c>
    </row>
    <row r="18" spans="1:1" x14ac:dyDescent="0.15">
      <c r="A18" t="s">
        <v>134</v>
      </c>
    </row>
    <row r="19" spans="1:1" x14ac:dyDescent="0.15">
      <c r="A19" t="s">
        <v>135</v>
      </c>
    </row>
    <row r="20" spans="1:1" x14ac:dyDescent="0.15">
      <c r="A20" t="s">
        <v>136</v>
      </c>
    </row>
    <row r="21" spans="1:1" x14ac:dyDescent="0.15">
      <c r="A21" t="s">
        <v>137</v>
      </c>
    </row>
    <row r="22" spans="1:1" x14ac:dyDescent="0.15">
      <c r="A22" t="s">
        <v>138</v>
      </c>
    </row>
    <row r="23" spans="1:1" x14ac:dyDescent="0.15">
      <c r="A23" t="s">
        <v>139</v>
      </c>
    </row>
    <row r="24" spans="1:1" x14ac:dyDescent="0.15">
      <c r="A24" t="s">
        <v>140</v>
      </c>
    </row>
    <row r="25" spans="1:1" x14ac:dyDescent="0.15">
      <c r="A25" t="s">
        <v>141</v>
      </c>
    </row>
    <row r="26" spans="1:1" x14ac:dyDescent="0.15">
      <c r="A26" t="s">
        <v>142</v>
      </c>
    </row>
    <row r="27" spans="1:1" x14ac:dyDescent="0.15">
      <c r="A27" t="s">
        <v>143</v>
      </c>
    </row>
    <row r="28" spans="1:1" x14ac:dyDescent="0.15">
      <c r="A28" t="s">
        <v>144</v>
      </c>
    </row>
    <row r="29" spans="1:1" x14ac:dyDescent="0.15">
      <c r="A29" t="s">
        <v>145</v>
      </c>
    </row>
    <row r="30" spans="1:1" x14ac:dyDescent="0.15">
      <c r="A30" t="s">
        <v>146</v>
      </c>
    </row>
  </sheetData>
  <phoneticPr fontId="9" type="noConversion"/>
  <conditionalFormatting sqref="D1">
    <cfRule type="cellIs" dxfId="0" priority="1" stopIfTrue="1" operator="between">
      <formula>NOT(ISERROR(SEARCH(" ",D1)))</formula>
      <formula>"="</formula>
    </cfRule>
  </conditionalFormatting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5"/>
  <sheetViews>
    <sheetView topLeftCell="A7" zoomScale="70" zoomScaleNormal="70" workbookViewId="0">
      <selection activeCell="B10" sqref="B10"/>
    </sheetView>
  </sheetViews>
  <sheetFormatPr defaultColWidth="9" defaultRowHeight="13.5" x14ac:dyDescent="0.15"/>
  <cols>
    <col min="1" max="1" width="29.875" style="1" customWidth="1"/>
    <col min="2" max="2" width="120.5" style="2" customWidth="1"/>
    <col min="3" max="4" width="9" style="1"/>
    <col min="5" max="5" width="27.125" style="1" customWidth="1"/>
    <col min="6" max="16384" width="9" style="1"/>
  </cols>
  <sheetData>
    <row r="1" spans="1:9" x14ac:dyDescent="0.15">
      <c r="A1" s="1" t="s">
        <v>147</v>
      </c>
      <c r="B1" s="2" t="s">
        <v>148</v>
      </c>
      <c r="C1" s="1" t="s">
        <v>47</v>
      </c>
      <c r="D1" s="1" t="s">
        <v>48</v>
      </c>
      <c r="E1" s="1" t="s">
        <v>149</v>
      </c>
      <c r="F1" s="1" t="s">
        <v>49</v>
      </c>
      <c r="G1" s="1" t="s">
        <v>50</v>
      </c>
      <c r="H1" s="1" t="s">
        <v>150</v>
      </c>
      <c r="I1" s="1" t="s">
        <v>151</v>
      </c>
    </row>
    <row r="2" spans="1:9" x14ac:dyDescent="0.15">
      <c r="A2" s="1" t="s">
        <v>152</v>
      </c>
      <c r="B2" s="2" t="s">
        <v>153</v>
      </c>
    </row>
    <row r="3" spans="1:9" ht="80.099999999999994" customHeight="1" x14ac:dyDescent="0.15">
      <c r="A3" s="3" t="s">
        <v>154</v>
      </c>
      <c r="B3" s="4" t="s">
        <v>155</v>
      </c>
      <c r="E3" s="5"/>
      <c r="G3" s="1" t="s">
        <v>156</v>
      </c>
    </row>
    <row r="4" spans="1:9" ht="80.099999999999994" customHeight="1" x14ac:dyDescent="0.15">
      <c r="A4" s="3" t="s">
        <v>56</v>
      </c>
      <c r="B4" s="4" t="s">
        <v>157</v>
      </c>
      <c r="E4" s="5"/>
      <c r="G4" s="1" t="s">
        <v>158</v>
      </c>
    </row>
    <row r="5" spans="1:9" ht="80.099999999999994" customHeight="1" x14ac:dyDescent="0.15">
      <c r="A5" s="3" t="s">
        <v>159</v>
      </c>
      <c r="B5" s="6" t="s">
        <v>160</v>
      </c>
      <c r="E5" s="5"/>
      <c r="G5" s="1" t="s">
        <v>156</v>
      </c>
    </row>
    <row r="6" spans="1:9" ht="80.099999999999994" customHeight="1" x14ac:dyDescent="0.15">
      <c r="A6" s="3" t="s">
        <v>161</v>
      </c>
      <c r="B6" s="4" t="s">
        <v>162</v>
      </c>
      <c r="E6" s="5"/>
      <c r="G6" s="1" t="s">
        <v>156</v>
      </c>
    </row>
    <row r="7" spans="1:9" ht="80.099999999999994" customHeight="1" x14ac:dyDescent="0.15">
      <c r="A7" s="3" t="s">
        <v>163</v>
      </c>
      <c r="B7" s="4" t="s">
        <v>164</v>
      </c>
      <c r="E7" s="5"/>
      <c r="G7" s="1" t="s">
        <v>156</v>
      </c>
    </row>
    <row r="8" spans="1:9" ht="83.1" customHeight="1" x14ac:dyDescent="0.15">
      <c r="A8" s="1" t="s">
        <v>165</v>
      </c>
      <c r="B8" s="7" t="s">
        <v>166</v>
      </c>
      <c r="E8" s="5"/>
      <c r="G8" s="1" t="s">
        <v>167</v>
      </c>
    </row>
    <row r="9" spans="1:9" ht="93" customHeight="1" x14ac:dyDescent="0.15">
      <c r="A9" s="1" t="s">
        <v>168</v>
      </c>
      <c r="B9" s="7" t="s">
        <v>169</v>
      </c>
      <c r="E9" s="5"/>
      <c r="G9" s="1" t="s">
        <v>156</v>
      </c>
    </row>
    <row r="10" spans="1:9" ht="80.099999999999994" customHeight="1" x14ac:dyDescent="0.15">
      <c r="A10" s="3" t="s">
        <v>57</v>
      </c>
      <c r="B10" s="6" t="s">
        <v>170</v>
      </c>
      <c r="C10" s="5"/>
      <c r="G10" s="1" t="s">
        <v>156</v>
      </c>
    </row>
    <row r="11" spans="1:9" ht="83.1" customHeight="1" x14ac:dyDescent="0.15">
      <c r="A11" s="1" t="s">
        <v>58</v>
      </c>
      <c r="B11" s="7" t="s">
        <v>171</v>
      </c>
      <c r="E11" s="5"/>
      <c r="G11" s="1" t="s">
        <v>167</v>
      </c>
    </row>
    <row r="12" spans="1:9" ht="93" customHeight="1" x14ac:dyDescent="0.15">
      <c r="A12" s="1" t="s">
        <v>172</v>
      </c>
      <c r="B12" s="7" t="s">
        <v>173</v>
      </c>
      <c r="E12" s="5"/>
      <c r="G12" s="1" t="s">
        <v>156</v>
      </c>
    </row>
    <row r="13" spans="1:9" ht="80.099999999999994" customHeight="1" x14ac:dyDescent="0.15">
      <c r="A13" s="1" t="s">
        <v>174</v>
      </c>
      <c r="B13" s="7" t="s">
        <v>175</v>
      </c>
      <c r="D13" s="8"/>
      <c r="F13" s="8"/>
      <c r="G13" s="1" t="s">
        <v>156</v>
      </c>
      <c r="H13" s="8"/>
    </row>
    <row r="14" spans="1:9" ht="80.099999999999994" customHeight="1" x14ac:dyDescent="0.15">
      <c r="A14" s="1" t="s">
        <v>176</v>
      </c>
      <c r="B14" s="6" t="s">
        <v>177</v>
      </c>
      <c r="G14" s="1" t="s">
        <v>156</v>
      </c>
    </row>
    <row r="15" spans="1:9" ht="80.099999999999994" customHeight="1" x14ac:dyDescent="0.15">
      <c r="A15" s="1" t="s">
        <v>113</v>
      </c>
      <c r="B15" s="7" t="s">
        <v>178</v>
      </c>
      <c r="C15" s="5"/>
      <c r="G15" s="1" t="s">
        <v>156</v>
      </c>
    </row>
    <row r="16" spans="1:9" ht="80.099999999999994" customHeight="1" x14ac:dyDescent="0.15">
      <c r="A16" s="3" t="s">
        <v>0</v>
      </c>
      <c r="B16" s="7" t="s">
        <v>179</v>
      </c>
      <c r="G16" s="1" t="s">
        <v>156</v>
      </c>
    </row>
    <row r="17" spans="1:7" ht="80.099999999999994" customHeight="1" x14ac:dyDescent="0.15">
      <c r="A17" s="1" t="s">
        <v>180</v>
      </c>
      <c r="B17" s="7" t="s">
        <v>181</v>
      </c>
      <c r="C17" s="5"/>
      <c r="G17" s="1" t="s">
        <v>156</v>
      </c>
    </row>
    <row r="18" spans="1:7" ht="80.099999999999994" customHeight="1" x14ac:dyDescent="0.15">
      <c r="A18" s="1" t="s">
        <v>182</v>
      </c>
      <c r="B18" s="6" t="s">
        <v>183</v>
      </c>
      <c r="G18" s="1" t="s">
        <v>156</v>
      </c>
    </row>
    <row r="19" spans="1:7" ht="80.099999999999994" customHeight="1" x14ac:dyDescent="0.15">
      <c r="A19" s="3" t="s">
        <v>184</v>
      </c>
      <c r="B19" s="7" t="s">
        <v>185</v>
      </c>
      <c r="C19" s="5"/>
      <c r="G19" s="1" t="s">
        <v>156</v>
      </c>
    </row>
    <row r="20" spans="1:7" ht="80.099999999999994" customHeight="1" x14ac:dyDescent="0.15">
      <c r="A20" s="3" t="s">
        <v>186</v>
      </c>
      <c r="B20" s="7" t="s">
        <v>187</v>
      </c>
      <c r="G20" s="1" t="s">
        <v>156</v>
      </c>
    </row>
    <row r="21" spans="1:7" ht="22.15" customHeight="1" x14ac:dyDescent="0.15">
      <c r="A21" s="3" t="s">
        <v>188</v>
      </c>
      <c r="B21" s="6"/>
    </row>
    <row r="22" spans="1:7" ht="22.15" customHeight="1" x14ac:dyDescent="0.15">
      <c r="B22" s="6"/>
    </row>
    <row r="23" spans="1:7" ht="22.15" customHeight="1" x14ac:dyDescent="0.15">
      <c r="B23" s="6"/>
    </row>
    <row r="24" spans="1:7" ht="22.15" customHeight="1" x14ac:dyDescent="0.15">
      <c r="B24" s="6"/>
    </row>
    <row r="25" spans="1:7" x14ac:dyDescent="0.15">
      <c r="B25" s="9"/>
    </row>
  </sheetData>
  <phoneticPr fontId="9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多脚本</vt:lpstr>
      <vt:lpstr>密码区</vt:lpstr>
      <vt:lpstr>常用代码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王进利</cp:lastModifiedBy>
  <cp:lastPrinted>2020-05-27T01:56:00Z</cp:lastPrinted>
  <dcterms:created xsi:type="dcterms:W3CDTF">2006-09-16T00:00:00Z</dcterms:created>
  <dcterms:modified xsi:type="dcterms:W3CDTF">2022-11-10T23:51:56Z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2052-11.1.0.12763</vt:lpwstr>
  </property>
  <property fmtid="{D5CDD505-2E9C-101B-9397-08002B2CF9AE}" pid="3" name="ICV">
    <vt:lpwstr>F85CEEADAEFE4C95972C7B356D8D83E2</vt:lpwstr>
  </property>
</Properties>
</file>